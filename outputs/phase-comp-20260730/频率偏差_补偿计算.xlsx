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c78c52a1eb4e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ed4084402d4f36"/>
    <x:sheet xmlns:r="http://schemas.openxmlformats.org/officeDocument/2006/relationships" name="补偿计算" sheetId="2" r:id="R02b399ea58214a49"/>
  </x:sheets>
</x:workbook>
</file>

<file path=xl/sharedStrings.xml><?xml version="1.0" encoding="utf-8"?>
<x:sst xmlns:x="http://schemas.openxmlformats.org/spreadsheetml/2006/main">
  <x:si>
    <x:t xml:space="preserve">测量频率|实际相位差|测量模式</x:t>
  </x:si>
  <x:si>
    <x:t xml:space="preserve">一倍锁频</x:t>
  </x:si>
  <x:si>
    <x:t xml:space="preserve">两倍锁频</x:t>
  </x:si>
</x:sst>
</file>

<file path=xl/styles.xml><?xml version="1.0" encoding="utf-8"?>
<x:styleSheet xmlns:x="http://schemas.openxmlformats.org/spreadsheetml/2006/main">
  <x:numFmts count="2">
    <x:numFmt numFmtId="200" formatCode="#,##0"/>
    <x:numFmt numFmtId="201" formatCode="0.00"/>
  </x:numFmts>
  <x:fonts count="5">
    <x:font>
      <x:sz val="11"/>
      <x:color theme="1"/>
      <x:name val="等线"/>
    </x:font>
    <x:font>
      <x:sz val="9"/>
      <x:name val="等线"/>
    </x:font>
    <x:font>
      <x:b/>
      <x:sz val="11"/>
      <x:color rgb="FFFFFFFF"/>
      <x:name val="等线"/>
    </x:font>
    <x:font>
      <x:sz val="11"/>
      <x:color rgb="FF17365D"/>
      <x:name val="等线"/>
    </x:font>
    <x:font>
      <x:b/>
      <x:sz val="11"/>
      <x:color rgb="FF1F4E78"/>
      <x:name val="等线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7">
    <x:border/>
    <x:border>
      <x:left style="thin">
        <x:color rgb="FF2F5597"/>
      </x:left>
      <x:top style="thin">
        <x:color rgb="FF2F5597"/>
      </x:top>
      <x:bottom style="thin">
        <x:color rgb="FF2F5597"/>
      </x:bottom>
    </x:border>
    <x:border>
      <x:top style="thin">
        <x:color rgb="FF2F5597"/>
      </x:top>
      <x:bottom style="thin">
        <x:color rgb="FF2F5597"/>
      </x:bottom>
    </x:border>
    <x:border>
      <x:right style="thin">
        <x:color rgb="FF2F5597"/>
      </x:right>
      <x:top style="thin">
        <x:color rgb="FF2F5597"/>
      </x:top>
      <x:bottom style="thin">
        <x:color rgb="FF2F559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0" fontId="2" fillId="5" borderId="3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2" xfId="0" applyNumberFormat="1" applyFont="1" applyFill="1" applyBorder="1" applyAlignment="1">
      <x:alignment horizontal="center" wrapText="1"/>
    </x:xf>
    <x:xf numFmtId="0" fontId="2" fillId="5" borderId="3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horizontal="center" vertical="center" wrapText="1"/>
    </x:xf>
    <x:xf numFmtId="201" fontId="0" fillId="0" borderId="4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201" fontId="0" fillId="6" borderId="4" xfId="0" applyNumberFormat="1" applyFont="1" applyFill="1" applyBorder="1" applyAlignment="1">
      <x:alignment vertical="center"/>
    </x:xf>
    <x:xf numFmtId="201" fontId="0" fillId="6" borderId="5" xfId="0" applyNumberFormat="1" applyFont="1" applyFill="1" applyBorder="1" applyAlignment="1">
      <x:alignment vertical="center"/>
    </x:xf>
    <x:xf numFmtId="201" fontId="0" fillId="6" borderId="6" xfId="0" applyNumberFormat="1" applyFont="1" applyFill="1" applyBorder="1" applyAlignment="1">
      <x:alignment vertical="center"/>
    </x:xf>
    <x:xf numFmtId="201" fontId="0" fillId="7" borderId="4" xfId="0" applyNumberFormat="1" applyFont="1" applyFill="1" applyBorder="1" applyAlignment="1">
      <x:alignment vertical="center"/>
    </x:xf>
    <x:xf numFmtId="201" fontId="0" fillId="7" borderId="5" xfId="0" applyNumberFormat="1" applyFont="1" applyFill="1" applyBorder="1" applyAlignment="1">
      <x:alignment vertical="center"/>
    </x:xf>
    <x:xf numFmtId="201" fontId="0" fillId="7" borderId="6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14116f8fd043bb" /><Relationship Type="http://schemas.openxmlformats.org/officeDocument/2006/relationships/theme" Target="/xl/theme/theme1.xml" Id="R0a4145ebfd904cd0" /><Relationship Type="http://schemas.openxmlformats.org/officeDocument/2006/relationships/sharedStrings" Target="/xl/sharedStrings.xml" Id="R7c245a716215485d" /><Relationship Type="http://schemas.openxmlformats.org/officeDocument/2006/relationships/worksheet" Target="/xl/worksheets/sheet1.xml" Id="Ra3ed4084402d4f36" /><Relationship Type="http://schemas.openxmlformats.org/officeDocument/2006/relationships/worksheet" Target="/xl/worksheets/sheet2.xml" Id="R02b399ea58214a49" /></Relationships>
</file>

<file path=xl/tables/table1.xml><?xml version="1.0" encoding="utf-8"?>
<x:table xmlns:x="http://schemas.openxmlformats.org/spreadsheetml/2006/main" id="1" name="PhaseCompensationTable" displayName="PhaseCompensationTable" ref="A5:K26" headerRowCount="1" totalsRowCount="0" totalsRowShown="0">
  <x:tableColumns count="11">
    <x:tableColumn id="1" name="测量频率 (Hz)"/>
    <x:tableColumn id="2" name="1×实际相位 (°)"/>
    <x:tableColumn id="3" name="1×理论相位 (°)"/>
    <x:tableColumn id="4" name="1×补偿值 (°)"/>
    <x:tableColumn id="5" name="1×有效反馈目标 (°)"/>
    <x:tableColumn id="6" name="1×补偿后预测 (°)"/>
    <x:tableColumn id="7" name="2×实际相位 (°)"/>
    <x:tableColumn id="8" name="2×理论相位 (°)"/>
    <x:tableColumn id="9" name="2×补偿值 (°)"/>
    <x:tableColumn id="10" name="2×有效反馈目标 (°)"/>
    <x:tableColumn id="11" name="2×补偿后预测 (°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00afb6f8d04a45" /></Relationships>
</file>

<file path=xl/worksheets/sheet1.xml><?xml version="1.0" encoding="utf-8"?>
<x:worksheet xmlns:x="http://schemas.openxmlformats.org/spreadsheetml/2006/main">
  <x:sheetFormatPr defaultRowHeight="14"/>
  <x:cols>
    <x:col min="1" max="1" width="31.4140625" customWidth="1"/>
  </x:cols>
  <x:sheetData>
    <x:row r="1">
      <x:c r="A1" t="s">
        <x:v>0</x:v>
      </x:c>
      <x:c r="B1" t="s">
        <x:v>1</x:v>
      </x:c>
      <x:c r="C1" t="s">
        <x:v>2</x:v>
      </x:c>
    </x:row>
    <x:row r="2">
      <x:c r="A2">
        <x:v>1000</x:v>
      </x:c>
      <x:c r="B2">
        <x:v>-90.13</x:v>
      </x:c>
      <x:c r="C2">
        <x:v>0.1</x:v>
      </x:c>
    </x:row>
    <x:row r="3">
      <x:c r="A3">
        <x:v>5000</x:v>
      </x:c>
      <x:c r="B3">
        <x:v>-89.13</x:v>
      </x:c>
      <x:c r="C3">
        <x:v>1</x:v>
      </x:c>
    </x:row>
    <x:row r="4">
      <x:c r="A4">
        <x:v>10000</x:v>
      </x:c>
      <x:c r="B4">
        <x:v>-88.53</x:v>
      </x:c>
      <x:c r="C4">
        <x:v>1.72</x:v>
      </x:c>
    </x:row>
    <x:row r="5">
      <x:c r="A5">
        <x:v>15000</x:v>
      </x:c>
      <x:c r="B5">
        <x:v>-88.24</x:v>
      </x:c>
      <x:c r="C5">
        <x:v>1.77</x:v>
      </x:c>
    </x:row>
    <x:row r="6">
      <x:c r="A6">
        <x:v>20000</x:v>
      </x:c>
      <x:c r="B6">
        <x:v>-87.9</x:v>
      </x:c>
      <x:c r="C6">
        <x:v>1.8</x:v>
      </x:c>
    </x:row>
    <x:row r="7">
      <x:c r="A7">
        <x:v>25000</x:v>
      </x:c>
      <x:c r="B7">
        <x:v>-87.68</x:v>
      </x:c>
      <x:c r="C7">
        <x:v>1.92</x:v>
      </x:c>
    </x:row>
    <x:row r="8">
      <x:c r="A8">
        <x:v>30000</x:v>
      </x:c>
      <x:c r="B8">
        <x:v>-87.6</x:v>
      </x:c>
      <x:c r="C8">
        <x:v>1.99</x:v>
      </x:c>
    </x:row>
    <x:row r="9">
      <x:c r="A9">
        <x:v>35000</x:v>
      </x:c>
      <x:c r="B9">
        <x:v>-87.41</x:v>
      </x:c>
      <x:c r="C9">
        <x:v>2.12</x:v>
      </x:c>
    </x:row>
    <x:row r="10">
      <x:c r="A10">
        <x:v>40000</x:v>
      </x:c>
      <x:c r="B10">
        <x:v>-87.34</x:v>
      </x:c>
      <x:c r="C10">
        <x:v>2.2799999999999998</x:v>
      </x:c>
    </x:row>
    <x:row r="11">
      <x:c r="A11">
        <x:v>45000</x:v>
      </x:c>
      <x:c r="B11">
        <x:v>-87.53</x:v>
      </x:c>
      <x:c r="C11">
        <x:v>2.31</x:v>
      </x:c>
    </x:row>
    <x:row r="12">
      <x:c r="A12">
        <x:v>50000</x:v>
      </x:c>
      <x:c r="B12">
        <x:v>-87.02</x:v>
      </x:c>
      <x:c r="C12">
        <x:v>2.54</x:v>
      </x:c>
    </x:row>
    <x:row r="13">
      <x:c r="A13">
        <x:v>55000</x:v>
      </x:c>
      <x:c r="B13">
        <x:v>-85.97</x:v>
      </x:c>
      <x:c r="C13">
        <x:v>3.17</x:v>
      </x:c>
    </x:row>
    <x:row r="14">
      <x:c r="A14">
        <x:v>60000</x:v>
      </x:c>
      <x:c r="B14">
        <x:v>-85.55</x:v>
      </x:c>
      <x:c r="C14">
        <x:v>3.56</x:v>
      </x:c>
    </x:row>
    <x:row r="15">
      <x:c r="A15">
        <x:v>65000</x:v>
      </x:c>
      <x:c r="B15">
        <x:v>-85.84</x:v>
      </x:c>
      <x:c r="C15">
        <x:v>3.36</x:v>
      </x:c>
    </x:row>
    <x:row r="16">
      <x:c r="A16">
        <x:v>70000</x:v>
      </x:c>
      <x:c r="B16">
        <x:v>-86.12</x:v>
      </x:c>
      <x:c r="C16">
        <x:v>3.93</x:v>
      </x:c>
    </x:row>
    <x:row r="17">
      <x:c r="A17">
        <x:v>75000</x:v>
      </x:c>
      <x:c r="B17">
        <x:v>-86.66</x:v>
      </x:c>
      <x:c r="C17">
        <x:v>3.78</x:v>
      </x:c>
    </x:row>
    <x:row r="18">
      <x:c r="A18">
        <x:v>80000</x:v>
      </x:c>
      <x:c r="B18">
        <x:v>-86.56</x:v>
      </x:c>
      <x:c r="C18">
        <x:v>4.0999999999999996</x:v>
      </x:c>
    </x:row>
    <x:row r="19">
      <x:c r="A19">
        <x:v>85000</x:v>
      </x:c>
      <x:c r="B19">
        <x:v>-86.07</x:v>
      </x:c>
      <x:c r="C19">
        <x:v>4.47</x:v>
      </x:c>
    </x:row>
    <x:row r="20">
      <x:c r="A20">
        <x:v>90000</x:v>
      </x:c>
      <x:c r="B20">
        <x:v>-85.97</x:v>
      </x:c>
      <x:c r="C20">
        <x:v>4.8099999999999996</x:v>
      </x:c>
    </x:row>
    <x:row r="21">
      <x:c r="A21">
        <x:v>95000</x:v>
      </x:c>
      <x:c r="B21">
        <x:v>-85.85</x:v>
      </x:c>
      <x:c r="C21">
        <x:v>4.88</x:v>
      </x:c>
    </x:row>
    <x:row r="22">
      <x:c r="A22">
        <x:v>100000</x:v>
      </x:c>
      <x:c r="B22">
        <x:v>-84.76</x:v>
      </x:c>
      <x:c r="C22">
        <x:v>4.95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8" hidden="0" customWidth="1"/>
    <x:col min="11" max="11" width="18" hidden="0" customWidth="1"/>
  </x:cols>
  <x:sheetData>
    <x:row r="1" ht="28" customHeight="1">
      <x:c r="A1" s="4" t="str">
        <x:v>频率—相位补偿标定表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8" customHeight="1">
      <x:c r="A2" s="9" t="str">
        <x:v>相位按 CH1 − 输出记录；固件补偿值 = 实际相位差 − 理论相位差，并加到反馈锁相目标。相邻频点线性插值，1–100 kHz 范围外钳位到最近端点。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3" ht="38" customHeight="1">
      <x:c r="A3" s="14" t="str">
        <x:v>1×理论相位 (CH1−输出)</x:v>
      </x:c>
      <x:c r="B3" s="38" t="n">
        <x:v>-90</x:v>
      </x:c>
      <x:c r="C3" s="38" t="str">
        <x:v>1×名义反馈目标</x:v>
      </x:c>
      <x:c r="D3" s="38" t="n">
        <x:v>-90</x:v>
      </x:c>
      <x:c r="E3" s="38" t="str">
        <x:v>2×理论广义相位</x:v>
      </x:c>
      <x:c r="F3" s="38" t="n">
        <x:v>0</x:v>
      </x:c>
      <x:c r="G3" s="38" t="str">
        <x:v>2×名义反馈目标</x:v>
      </x:c>
      <x:c r="H3" s="38" t="n">
        <x:v>180</x:v>
      </x:c>
      <x:c r="I3" s="14" t="str">
        <x:v>反馈检测定义：φADC2 − N×φADC1</x:v>
      </x:c>
      <x:c r="J3" s="14"/>
      <x:c r="K3" s="14"/>
    </x:row>
    <x:row r="5" ht="34" customHeight="1">
      <x:c r="A5" s="26" t="str">
        <x:v>测量频率 (Hz)</x:v>
      </x:c>
      <x:c r="B5" s="27" t="str">
        <x:v>1×实际相位 (°)</x:v>
      </x:c>
      <x:c r="C5" s="27" t="str">
        <x:v>1×理论相位 (°)</x:v>
      </x:c>
      <x:c r="D5" s="27" t="str">
        <x:v>1×补偿值 (°)</x:v>
      </x:c>
      <x:c r="E5" s="27" t="str">
        <x:v>1×有效反馈目标 (°)</x:v>
      </x:c>
      <x:c r="F5" s="27" t="str">
        <x:v>1×补偿后预测 (°)</x:v>
      </x:c>
      <x:c r="G5" s="27" t="str">
        <x:v>2×实际相位 (°)</x:v>
      </x:c>
      <x:c r="H5" s="27" t="str">
        <x:v>2×理论相位 (°)</x:v>
      </x:c>
      <x:c r="I5" s="27" t="str">
        <x:v>2×补偿值 (°)</x:v>
      </x:c>
      <x:c r="J5" s="27" t="str">
        <x:v>2×有效反馈目标 (°)</x:v>
      </x:c>
      <x:c r="K5" s="28" t="str">
        <x:v>2×补偿后预测 (°)</x:v>
      </x:c>
    </x:row>
    <x:row r="6" ht="21" customHeight="1">
      <x:c r="A6" s="35" t="n">
        <x:f>'Sheet1'!A2</x:f>
        <x:v>1000</x:v>
      </x:c>
      <x:c r="B6" s="39" t="n">
        <x:f>'Sheet1'!B2</x:f>
        <x:v>-90.13</x:v>
      </x:c>
      <x:c r="C6" s="39" t="n">
        <x:f>$B$3</x:f>
        <x:v>-90</x:v>
      </x:c>
      <x:c r="D6" s="42" t="n">
        <x:f>B6-C6</x:f>
        <x:v>-0.12999999999999545</x:v>
      </x:c>
      <x:c r="E6" s="45" t="n">
        <x:f>$D$3+D6</x:f>
        <x:v>-90.13</x:v>
      </x:c>
      <x:c r="F6" s="39" t="n">
        <x:f>B6-D6</x:f>
        <x:v>-90</x:v>
      </x:c>
      <x:c r="G6" s="39" t="n">
        <x:f>'Sheet1'!C2</x:f>
        <x:v>0.1</x:v>
      </x:c>
      <x:c r="H6" s="39" t="n">
        <x:f>$F$3</x:f>
        <x:v>0</x:v>
      </x:c>
      <x:c r="I6" s="42" t="n">
        <x:f>G6-H6</x:f>
        <x:v>0.1</x:v>
      </x:c>
      <x:c r="J6" s="45" t="n">
        <x:f>IF($H$3+I6&gt;180,$H$3+I6-360,$H$3+I6)</x:f>
        <x:v>-179.9</x:v>
      </x:c>
      <x:c r="K6" s="39" t="n">
        <x:f>G6-I6</x:f>
        <x:v>0</x:v>
      </x:c>
    </x:row>
    <x:row r="7" ht="21" customHeight="1">
      <x:c r="A7" s="36" t="n">
        <x:f>'Sheet1'!A3</x:f>
        <x:v>5000</x:v>
      </x:c>
      <x:c r="B7" s="40" t="n">
        <x:f>'Sheet1'!B3</x:f>
        <x:v>-89.13</x:v>
      </x:c>
      <x:c r="C7" s="40" t="n">
        <x:f>$B$3</x:f>
        <x:v>-90</x:v>
      </x:c>
      <x:c r="D7" s="43" t="n">
        <x:f>B7-C7</x:f>
        <x:v>0.8700000000000045</x:v>
      </x:c>
      <x:c r="E7" s="46" t="n">
        <x:f>$D$3+D7</x:f>
        <x:v>-89.13</x:v>
      </x:c>
      <x:c r="F7" s="40" t="n">
        <x:f>B7-D7</x:f>
        <x:v>-90</x:v>
      </x:c>
      <x:c r="G7" s="40" t="n">
        <x:f>'Sheet1'!C3</x:f>
        <x:v>1</x:v>
      </x:c>
      <x:c r="H7" s="40" t="n">
        <x:f>$F$3</x:f>
        <x:v>0</x:v>
      </x:c>
      <x:c r="I7" s="43" t="n">
        <x:f>G7-H7</x:f>
        <x:v>1</x:v>
      </x:c>
      <x:c r="J7" s="46" t="n">
        <x:f>IF($H$3+I7&gt;180,$H$3+I7-360,$H$3+I7)</x:f>
        <x:v>-179</x:v>
      </x:c>
      <x:c r="K7" s="40" t="n">
        <x:f>G7-I7</x:f>
        <x:v>0</x:v>
      </x:c>
    </x:row>
    <x:row r="8" ht="21" customHeight="1">
      <x:c r="A8" s="36" t="n">
        <x:f>'Sheet1'!A4</x:f>
        <x:v>10000</x:v>
      </x:c>
      <x:c r="B8" s="40" t="n">
        <x:f>'Sheet1'!B4</x:f>
        <x:v>-88.53</x:v>
      </x:c>
      <x:c r="C8" s="40" t="n">
        <x:f>$B$3</x:f>
        <x:v>-90</x:v>
      </x:c>
      <x:c r="D8" s="43" t="n">
        <x:f>B8-C8</x:f>
        <x:v>1.4699999999999989</x:v>
      </x:c>
      <x:c r="E8" s="46" t="n">
        <x:f>$D$3+D8</x:f>
        <x:v>-88.53</x:v>
      </x:c>
      <x:c r="F8" s="40" t="n">
        <x:f>B8-D8</x:f>
        <x:v>-90</x:v>
      </x:c>
      <x:c r="G8" s="40" t="n">
        <x:f>'Sheet1'!C4</x:f>
        <x:v>1.72</x:v>
      </x:c>
      <x:c r="H8" s="40" t="n">
        <x:f>$F$3</x:f>
        <x:v>0</x:v>
      </x:c>
      <x:c r="I8" s="43" t="n">
        <x:f>G8-H8</x:f>
        <x:v>1.72</x:v>
      </x:c>
      <x:c r="J8" s="46" t="n">
        <x:f>IF($H$3+I8&gt;180,$H$3+I8-360,$H$3+I8)</x:f>
        <x:v>-178.28</x:v>
      </x:c>
      <x:c r="K8" s="40" t="n">
        <x:f>G8-I8</x:f>
        <x:v>0</x:v>
      </x:c>
    </x:row>
    <x:row r="9" ht="21" customHeight="1">
      <x:c r="A9" s="36" t="n">
        <x:f>'Sheet1'!A5</x:f>
        <x:v>15000</x:v>
      </x:c>
      <x:c r="B9" s="40" t="n">
        <x:f>'Sheet1'!B5</x:f>
        <x:v>-88.24</x:v>
      </x:c>
      <x:c r="C9" s="40" t="n">
        <x:f>$B$3</x:f>
        <x:v>-90</x:v>
      </x:c>
      <x:c r="D9" s="43" t="n">
        <x:f>B9-C9</x:f>
        <x:v>1.7600000000000051</x:v>
      </x:c>
      <x:c r="E9" s="46" t="n">
        <x:f>$D$3+D9</x:f>
        <x:v>-88.24</x:v>
      </x:c>
      <x:c r="F9" s="40" t="n">
        <x:f>B9-D9</x:f>
        <x:v>-90</x:v>
      </x:c>
      <x:c r="G9" s="40" t="n">
        <x:f>'Sheet1'!C5</x:f>
        <x:v>1.77</x:v>
      </x:c>
      <x:c r="H9" s="40" t="n">
        <x:f>$F$3</x:f>
        <x:v>0</x:v>
      </x:c>
      <x:c r="I9" s="43" t="n">
        <x:f>G9-H9</x:f>
        <x:v>1.77</x:v>
      </x:c>
      <x:c r="J9" s="46" t="n">
        <x:f>IF($H$3+I9&gt;180,$H$3+I9-360,$H$3+I9)</x:f>
        <x:v>-178.23</x:v>
      </x:c>
      <x:c r="K9" s="40" t="n">
        <x:f>G9-I9</x:f>
        <x:v>0</x:v>
      </x:c>
    </x:row>
    <x:row r="10" ht="21" customHeight="1">
      <x:c r="A10" s="36" t="n">
        <x:f>'Sheet1'!A6</x:f>
        <x:v>20000</x:v>
      </x:c>
      <x:c r="B10" s="40" t="n">
        <x:f>'Sheet1'!B6</x:f>
        <x:v>-87.9</x:v>
      </x:c>
      <x:c r="C10" s="40" t="n">
        <x:f>$B$3</x:f>
        <x:v>-90</x:v>
      </x:c>
      <x:c r="D10" s="43" t="n">
        <x:f>B10-C10</x:f>
        <x:v>2.0999999999999943</x:v>
      </x:c>
      <x:c r="E10" s="46" t="n">
        <x:f>$D$3+D10</x:f>
        <x:v>-87.9</x:v>
      </x:c>
      <x:c r="F10" s="40" t="n">
        <x:f>B10-D10</x:f>
        <x:v>-90</x:v>
      </x:c>
      <x:c r="G10" s="40" t="n">
        <x:f>'Sheet1'!C6</x:f>
        <x:v>1.8</x:v>
      </x:c>
      <x:c r="H10" s="40" t="n">
        <x:f>$F$3</x:f>
        <x:v>0</x:v>
      </x:c>
      <x:c r="I10" s="43" t="n">
        <x:f>G10-H10</x:f>
        <x:v>1.8</x:v>
      </x:c>
      <x:c r="J10" s="46" t="n">
        <x:f>IF($H$3+I10&gt;180,$H$3+I10-360,$H$3+I10)</x:f>
        <x:v>-178.2</x:v>
      </x:c>
      <x:c r="K10" s="40" t="n">
        <x:f>G10-I10</x:f>
        <x:v>0</x:v>
      </x:c>
    </x:row>
    <x:row r="11" ht="21" customHeight="1">
      <x:c r="A11" s="36" t="n">
        <x:f>'Sheet1'!A7</x:f>
        <x:v>25000</x:v>
      </x:c>
      <x:c r="B11" s="40" t="n">
        <x:f>'Sheet1'!B7</x:f>
        <x:v>-87.68</x:v>
      </x:c>
      <x:c r="C11" s="40" t="n">
        <x:f>$B$3</x:f>
        <x:v>-90</x:v>
      </x:c>
      <x:c r="D11" s="43" t="n">
        <x:f>B11-C11</x:f>
        <x:v>2.319999999999993</x:v>
      </x:c>
      <x:c r="E11" s="46" t="n">
        <x:f>$D$3+D11</x:f>
        <x:v>-87.68</x:v>
      </x:c>
      <x:c r="F11" s="40" t="n">
        <x:f>B11-D11</x:f>
        <x:v>-90</x:v>
      </x:c>
      <x:c r="G11" s="40" t="n">
        <x:f>'Sheet1'!C7</x:f>
        <x:v>1.92</x:v>
      </x:c>
      <x:c r="H11" s="40" t="n">
        <x:f>$F$3</x:f>
        <x:v>0</x:v>
      </x:c>
      <x:c r="I11" s="43" t="n">
        <x:f>G11-H11</x:f>
        <x:v>1.92</x:v>
      </x:c>
      <x:c r="J11" s="46" t="n">
        <x:f>IF($H$3+I11&gt;180,$H$3+I11-360,$H$3+I11)</x:f>
        <x:v>-178.08</x:v>
      </x:c>
      <x:c r="K11" s="40" t="n">
        <x:f>G11-I11</x:f>
        <x:v>0</x:v>
      </x:c>
    </x:row>
    <x:row r="12" ht="21" customHeight="1">
      <x:c r="A12" s="36" t="n">
        <x:f>'Sheet1'!A8</x:f>
        <x:v>30000</x:v>
      </x:c>
      <x:c r="B12" s="40" t="n">
        <x:f>'Sheet1'!B8</x:f>
        <x:v>-87.6</x:v>
      </x:c>
      <x:c r="C12" s="40" t="n">
        <x:f>$B$3</x:f>
        <x:v>-90</x:v>
      </x:c>
      <x:c r="D12" s="43" t="n">
        <x:f>B12-C12</x:f>
        <x:v>2.4000000000000057</x:v>
      </x:c>
      <x:c r="E12" s="46" t="n">
        <x:f>$D$3+D12</x:f>
        <x:v>-87.6</x:v>
      </x:c>
      <x:c r="F12" s="40" t="n">
        <x:f>B12-D12</x:f>
        <x:v>-90</x:v>
      </x:c>
      <x:c r="G12" s="40" t="n">
        <x:f>'Sheet1'!C8</x:f>
        <x:v>1.99</x:v>
      </x:c>
      <x:c r="H12" s="40" t="n">
        <x:f>$F$3</x:f>
        <x:v>0</x:v>
      </x:c>
      <x:c r="I12" s="43" t="n">
        <x:f>G12-H12</x:f>
        <x:v>1.99</x:v>
      </x:c>
      <x:c r="J12" s="46" t="n">
        <x:f>IF($H$3+I12&gt;180,$H$3+I12-360,$H$3+I12)</x:f>
        <x:v>-178.01</x:v>
      </x:c>
      <x:c r="K12" s="40" t="n">
        <x:f>G12-I12</x:f>
        <x:v>0</x:v>
      </x:c>
    </x:row>
    <x:row r="13" ht="21" customHeight="1">
      <x:c r="A13" s="36" t="n">
        <x:f>'Sheet1'!A9</x:f>
        <x:v>35000</x:v>
      </x:c>
      <x:c r="B13" s="40" t="n">
        <x:f>'Sheet1'!B9</x:f>
        <x:v>-87.41</x:v>
      </x:c>
      <x:c r="C13" s="40" t="n">
        <x:f>$B$3</x:f>
        <x:v>-90</x:v>
      </x:c>
      <x:c r="D13" s="43" t="n">
        <x:f>B13-C13</x:f>
        <x:v>2.5900000000000034</x:v>
      </x:c>
      <x:c r="E13" s="46" t="n">
        <x:f>$D$3+D13</x:f>
        <x:v>-87.41</x:v>
      </x:c>
      <x:c r="F13" s="40" t="n">
        <x:f>B13-D13</x:f>
        <x:v>-90</x:v>
      </x:c>
      <x:c r="G13" s="40" t="n">
        <x:f>'Sheet1'!C9</x:f>
        <x:v>2.12</x:v>
      </x:c>
      <x:c r="H13" s="40" t="n">
        <x:f>$F$3</x:f>
        <x:v>0</x:v>
      </x:c>
      <x:c r="I13" s="43" t="n">
        <x:f>G13-H13</x:f>
        <x:v>2.12</x:v>
      </x:c>
      <x:c r="J13" s="46" t="n">
        <x:f>IF($H$3+I13&gt;180,$H$3+I13-360,$H$3+I13)</x:f>
        <x:v>-177.88</x:v>
      </x:c>
      <x:c r="K13" s="40" t="n">
        <x:f>G13-I13</x:f>
        <x:v>0</x:v>
      </x:c>
    </x:row>
    <x:row r="14" ht="21" customHeight="1">
      <x:c r="A14" s="36" t="n">
        <x:f>'Sheet1'!A10</x:f>
        <x:v>40000</x:v>
      </x:c>
      <x:c r="B14" s="40" t="n">
        <x:f>'Sheet1'!B10</x:f>
        <x:v>-87.34</x:v>
      </x:c>
      <x:c r="C14" s="40" t="n">
        <x:f>$B$3</x:f>
        <x:v>-90</x:v>
      </x:c>
      <x:c r="D14" s="43" t="n">
        <x:f>B14-C14</x:f>
        <x:v>2.6599999999999966</x:v>
      </x:c>
      <x:c r="E14" s="46" t="n">
        <x:f>$D$3+D14</x:f>
        <x:v>-87.34</x:v>
      </x:c>
      <x:c r="F14" s="40" t="n">
        <x:f>B14-D14</x:f>
        <x:v>-90</x:v>
      </x:c>
      <x:c r="G14" s="40" t="n">
        <x:f>'Sheet1'!C10</x:f>
        <x:v>2.28</x:v>
      </x:c>
      <x:c r="H14" s="40" t="n">
        <x:f>$F$3</x:f>
        <x:v>0</x:v>
      </x:c>
      <x:c r="I14" s="43" t="n">
        <x:f>G14-H14</x:f>
        <x:v>2.28</x:v>
      </x:c>
      <x:c r="J14" s="46" t="n">
        <x:f>IF($H$3+I14&gt;180,$H$3+I14-360,$H$3+I14)</x:f>
        <x:v>-177.72</x:v>
      </x:c>
      <x:c r="K14" s="40" t="n">
        <x:f>G14-I14</x:f>
        <x:v>0</x:v>
      </x:c>
    </x:row>
    <x:row r="15" ht="21" customHeight="1">
      <x:c r="A15" s="36" t="n">
        <x:f>'Sheet1'!A11</x:f>
        <x:v>45000</x:v>
      </x:c>
      <x:c r="B15" s="40" t="n">
        <x:f>'Sheet1'!B11</x:f>
        <x:v>-87.53</x:v>
      </x:c>
      <x:c r="C15" s="40" t="n">
        <x:f>$B$3</x:f>
        <x:v>-90</x:v>
      </x:c>
      <x:c r="D15" s="43" t="n">
        <x:f>B15-C15</x:f>
        <x:v>2.469999999999999</x:v>
      </x:c>
      <x:c r="E15" s="46" t="n">
        <x:f>$D$3+D15</x:f>
        <x:v>-87.53</x:v>
      </x:c>
      <x:c r="F15" s="40" t="n">
        <x:f>B15-D15</x:f>
        <x:v>-90</x:v>
      </x:c>
      <x:c r="G15" s="40" t="n">
        <x:f>'Sheet1'!C11</x:f>
        <x:v>2.31</x:v>
      </x:c>
      <x:c r="H15" s="40" t="n">
        <x:f>$F$3</x:f>
        <x:v>0</x:v>
      </x:c>
      <x:c r="I15" s="43" t="n">
        <x:f>G15-H15</x:f>
        <x:v>2.31</x:v>
      </x:c>
      <x:c r="J15" s="46" t="n">
        <x:f>IF($H$3+I15&gt;180,$H$3+I15-360,$H$3+I15)</x:f>
        <x:v>-177.69</x:v>
      </x:c>
      <x:c r="K15" s="40" t="n">
        <x:f>G15-I15</x:f>
        <x:v>0</x:v>
      </x:c>
    </x:row>
    <x:row r="16" ht="21" customHeight="1">
      <x:c r="A16" s="36" t="n">
        <x:f>'Sheet1'!A12</x:f>
        <x:v>50000</x:v>
      </x:c>
      <x:c r="B16" s="40" t="n">
        <x:f>'Sheet1'!B12</x:f>
        <x:v>-87.02</x:v>
      </x:c>
      <x:c r="C16" s="40" t="n">
        <x:f>$B$3</x:f>
        <x:v>-90</x:v>
      </x:c>
      <x:c r="D16" s="43" t="n">
        <x:f>B16-C16</x:f>
        <x:v>2.980000000000004</x:v>
      </x:c>
      <x:c r="E16" s="46" t="n">
        <x:f>$D$3+D16</x:f>
        <x:v>-87.02</x:v>
      </x:c>
      <x:c r="F16" s="40" t="n">
        <x:f>B16-D16</x:f>
        <x:v>-90</x:v>
      </x:c>
      <x:c r="G16" s="40" t="n">
        <x:f>'Sheet1'!C12</x:f>
        <x:v>2.54</x:v>
      </x:c>
      <x:c r="H16" s="40" t="n">
        <x:f>$F$3</x:f>
        <x:v>0</x:v>
      </x:c>
      <x:c r="I16" s="43" t="n">
        <x:f>G16-H16</x:f>
        <x:v>2.54</x:v>
      </x:c>
      <x:c r="J16" s="46" t="n">
        <x:f>IF($H$3+I16&gt;180,$H$3+I16-360,$H$3+I16)</x:f>
        <x:v>-177.46</x:v>
      </x:c>
      <x:c r="K16" s="40" t="n">
        <x:f>G16-I16</x:f>
        <x:v>0</x:v>
      </x:c>
    </x:row>
    <x:row r="17" ht="21" customHeight="1">
      <x:c r="A17" s="36" t="n">
        <x:f>'Sheet1'!A13</x:f>
        <x:v>55000</x:v>
      </x:c>
      <x:c r="B17" s="40" t="n">
        <x:f>'Sheet1'!B13</x:f>
        <x:v>-85.97</x:v>
      </x:c>
      <x:c r="C17" s="40" t="n">
        <x:f>$B$3</x:f>
        <x:v>-90</x:v>
      </x:c>
      <x:c r="D17" s="43" t="n">
        <x:f>B17-C17</x:f>
        <x:v>4.030000000000001</x:v>
      </x:c>
      <x:c r="E17" s="46" t="n">
        <x:f>$D$3+D17</x:f>
        <x:v>-85.97</x:v>
      </x:c>
      <x:c r="F17" s="40" t="n">
        <x:f>B17-D17</x:f>
        <x:v>-90</x:v>
      </x:c>
      <x:c r="G17" s="40" t="n">
        <x:f>'Sheet1'!C13</x:f>
        <x:v>3.17</x:v>
      </x:c>
      <x:c r="H17" s="40" t="n">
        <x:f>$F$3</x:f>
        <x:v>0</x:v>
      </x:c>
      <x:c r="I17" s="43" t="n">
        <x:f>G17-H17</x:f>
        <x:v>3.17</x:v>
      </x:c>
      <x:c r="J17" s="46" t="n">
        <x:f>IF($H$3+I17&gt;180,$H$3+I17-360,$H$3+I17)</x:f>
        <x:v>-176.83</x:v>
      </x:c>
      <x:c r="K17" s="40" t="n">
        <x:f>G17-I17</x:f>
        <x:v>0</x:v>
      </x:c>
    </x:row>
    <x:row r="18" ht="21" customHeight="1">
      <x:c r="A18" s="36" t="n">
        <x:f>'Sheet1'!A14</x:f>
        <x:v>60000</x:v>
      </x:c>
      <x:c r="B18" s="40" t="n">
        <x:f>'Sheet1'!B14</x:f>
        <x:v>-85.55</x:v>
      </x:c>
      <x:c r="C18" s="40" t="n">
        <x:f>$B$3</x:f>
        <x:v>-90</x:v>
      </x:c>
      <x:c r="D18" s="43" t="n">
        <x:f>B18-C18</x:f>
        <x:v>4.450000000000003</x:v>
      </x:c>
      <x:c r="E18" s="46" t="n">
        <x:f>$D$3+D18</x:f>
        <x:v>-85.55</x:v>
      </x:c>
      <x:c r="F18" s="40" t="n">
        <x:f>B18-D18</x:f>
        <x:v>-90</x:v>
      </x:c>
      <x:c r="G18" s="40" t="n">
        <x:f>'Sheet1'!C14</x:f>
        <x:v>3.56</x:v>
      </x:c>
      <x:c r="H18" s="40" t="n">
        <x:f>$F$3</x:f>
        <x:v>0</x:v>
      </x:c>
      <x:c r="I18" s="43" t="n">
        <x:f>G18-H18</x:f>
        <x:v>3.56</x:v>
      </x:c>
      <x:c r="J18" s="46" t="n">
        <x:f>IF($H$3+I18&gt;180,$H$3+I18-360,$H$3+I18)</x:f>
        <x:v>-176.44</x:v>
      </x:c>
      <x:c r="K18" s="40" t="n">
        <x:f>G18-I18</x:f>
        <x:v>0</x:v>
      </x:c>
    </x:row>
    <x:row r="19" ht="21" customHeight="1">
      <x:c r="A19" s="36" t="n">
        <x:f>'Sheet1'!A15</x:f>
        <x:v>65000</x:v>
      </x:c>
      <x:c r="B19" s="40" t="n">
        <x:f>'Sheet1'!B15</x:f>
        <x:v>-85.84</x:v>
      </x:c>
      <x:c r="C19" s="40" t="n">
        <x:f>$B$3</x:f>
        <x:v>-90</x:v>
      </x:c>
      <x:c r="D19" s="43" t="n">
        <x:f>B19-C19</x:f>
        <x:v>4.159999999999997</x:v>
      </x:c>
      <x:c r="E19" s="46" t="n">
        <x:f>$D$3+D19</x:f>
        <x:v>-85.84</x:v>
      </x:c>
      <x:c r="F19" s="40" t="n">
        <x:f>B19-D19</x:f>
        <x:v>-90</x:v>
      </x:c>
      <x:c r="G19" s="40" t="n">
        <x:f>'Sheet1'!C15</x:f>
        <x:v>3.36</x:v>
      </x:c>
      <x:c r="H19" s="40" t="n">
        <x:f>$F$3</x:f>
        <x:v>0</x:v>
      </x:c>
      <x:c r="I19" s="43" t="n">
        <x:f>G19-H19</x:f>
        <x:v>3.36</x:v>
      </x:c>
      <x:c r="J19" s="46" t="n">
        <x:f>IF($H$3+I19&gt;180,$H$3+I19-360,$H$3+I19)</x:f>
        <x:v>-176.64</x:v>
      </x:c>
      <x:c r="K19" s="40" t="n">
        <x:f>G19-I19</x:f>
        <x:v>0</x:v>
      </x:c>
    </x:row>
    <x:row r="20" ht="21" customHeight="1">
      <x:c r="A20" s="36" t="n">
        <x:f>'Sheet1'!A16</x:f>
        <x:v>70000</x:v>
      </x:c>
      <x:c r="B20" s="40" t="n">
        <x:f>'Sheet1'!B16</x:f>
        <x:v>-86.12</x:v>
      </x:c>
      <x:c r="C20" s="40" t="n">
        <x:f>$B$3</x:f>
        <x:v>-90</x:v>
      </x:c>
      <x:c r="D20" s="43" t="n">
        <x:f>B20-C20</x:f>
        <x:v>3.8799999999999955</x:v>
      </x:c>
      <x:c r="E20" s="46" t="n">
        <x:f>$D$3+D20</x:f>
        <x:v>-86.12</x:v>
      </x:c>
      <x:c r="F20" s="40" t="n">
        <x:f>B20-D20</x:f>
        <x:v>-90</x:v>
      </x:c>
      <x:c r="G20" s="40" t="n">
        <x:f>'Sheet1'!C16</x:f>
        <x:v>3.93</x:v>
      </x:c>
      <x:c r="H20" s="40" t="n">
        <x:f>$F$3</x:f>
        <x:v>0</x:v>
      </x:c>
      <x:c r="I20" s="43" t="n">
        <x:f>G20-H20</x:f>
        <x:v>3.93</x:v>
      </x:c>
      <x:c r="J20" s="46" t="n">
        <x:f>IF($H$3+I20&gt;180,$H$3+I20-360,$H$3+I20)</x:f>
        <x:v>-176.07</x:v>
      </x:c>
      <x:c r="K20" s="40" t="n">
        <x:f>G20-I20</x:f>
        <x:v>0</x:v>
      </x:c>
    </x:row>
    <x:row r="21" ht="21" customHeight="1">
      <x:c r="A21" s="36" t="n">
        <x:f>'Sheet1'!A17</x:f>
        <x:v>75000</x:v>
      </x:c>
      <x:c r="B21" s="40" t="n">
        <x:f>'Sheet1'!B17</x:f>
        <x:v>-86.66</x:v>
      </x:c>
      <x:c r="C21" s="40" t="n">
        <x:f>$B$3</x:f>
        <x:v>-90</x:v>
      </x:c>
      <x:c r="D21" s="43" t="n">
        <x:f>B21-C21</x:f>
        <x:v>3.3400000000000034</x:v>
      </x:c>
      <x:c r="E21" s="46" t="n">
        <x:f>$D$3+D21</x:f>
        <x:v>-86.66</x:v>
      </x:c>
      <x:c r="F21" s="40" t="n">
        <x:f>B21-D21</x:f>
        <x:v>-90</x:v>
      </x:c>
      <x:c r="G21" s="40" t="n">
        <x:f>'Sheet1'!C17</x:f>
        <x:v>3.78</x:v>
      </x:c>
      <x:c r="H21" s="40" t="n">
        <x:f>$F$3</x:f>
        <x:v>0</x:v>
      </x:c>
      <x:c r="I21" s="43" t="n">
        <x:f>G21-H21</x:f>
        <x:v>3.78</x:v>
      </x:c>
      <x:c r="J21" s="46" t="n">
        <x:f>IF($H$3+I21&gt;180,$H$3+I21-360,$H$3+I21)</x:f>
        <x:v>-176.22</x:v>
      </x:c>
      <x:c r="K21" s="40" t="n">
        <x:f>G21-I21</x:f>
        <x:v>0</x:v>
      </x:c>
    </x:row>
    <x:row r="22" ht="21" customHeight="1">
      <x:c r="A22" s="36" t="n">
        <x:f>'Sheet1'!A18</x:f>
        <x:v>80000</x:v>
      </x:c>
      <x:c r="B22" s="40" t="n">
        <x:f>'Sheet1'!B18</x:f>
        <x:v>-86.56</x:v>
      </x:c>
      <x:c r="C22" s="40" t="n">
        <x:f>$B$3</x:f>
        <x:v>-90</x:v>
      </x:c>
      <x:c r="D22" s="43" t="n">
        <x:f>B22-C22</x:f>
        <x:v>3.4399999999999977</x:v>
      </x:c>
      <x:c r="E22" s="46" t="n">
        <x:f>$D$3+D22</x:f>
        <x:v>-86.56</x:v>
      </x:c>
      <x:c r="F22" s="40" t="n">
        <x:f>B22-D22</x:f>
        <x:v>-90</x:v>
      </x:c>
      <x:c r="G22" s="40" t="n">
        <x:f>'Sheet1'!C18</x:f>
        <x:v>4.1</x:v>
      </x:c>
      <x:c r="H22" s="40" t="n">
        <x:f>$F$3</x:f>
        <x:v>0</x:v>
      </x:c>
      <x:c r="I22" s="43" t="n">
        <x:f>G22-H22</x:f>
        <x:v>4.1</x:v>
      </x:c>
      <x:c r="J22" s="46" t="n">
        <x:f>IF($H$3+I22&gt;180,$H$3+I22-360,$H$3+I22)</x:f>
        <x:v>-175.9</x:v>
      </x:c>
      <x:c r="K22" s="40" t="n">
        <x:f>G22-I22</x:f>
        <x:v>0</x:v>
      </x:c>
    </x:row>
    <x:row r="23" ht="21" customHeight="1">
      <x:c r="A23" s="36" t="n">
        <x:f>'Sheet1'!A19</x:f>
        <x:v>85000</x:v>
      </x:c>
      <x:c r="B23" s="40" t="n">
        <x:f>'Sheet1'!B19</x:f>
        <x:v>-86.07</x:v>
      </x:c>
      <x:c r="C23" s="40" t="n">
        <x:f>$B$3</x:f>
        <x:v>-90</x:v>
      </x:c>
      <x:c r="D23" s="43" t="n">
        <x:f>B23-C23</x:f>
        <x:v>3.930000000000007</x:v>
      </x:c>
      <x:c r="E23" s="46" t="n">
        <x:f>$D$3+D23</x:f>
        <x:v>-86.07</x:v>
      </x:c>
      <x:c r="F23" s="40" t="n">
        <x:f>B23-D23</x:f>
        <x:v>-90</x:v>
      </x:c>
      <x:c r="G23" s="40" t="n">
        <x:f>'Sheet1'!C19</x:f>
        <x:v>4.47</x:v>
      </x:c>
      <x:c r="H23" s="40" t="n">
        <x:f>$F$3</x:f>
        <x:v>0</x:v>
      </x:c>
      <x:c r="I23" s="43" t="n">
        <x:f>G23-H23</x:f>
        <x:v>4.47</x:v>
      </x:c>
      <x:c r="J23" s="46" t="n">
        <x:f>IF($H$3+I23&gt;180,$H$3+I23-360,$H$3+I23)</x:f>
        <x:v>-175.53</x:v>
      </x:c>
      <x:c r="K23" s="40" t="n">
        <x:f>G23-I23</x:f>
        <x:v>0</x:v>
      </x:c>
    </x:row>
    <x:row r="24" ht="21" customHeight="1">
      <x:c r="A24" s="36" t="n">
        <x:f>'Sheet1'!A20</x:f>
        <x:v>90000</x:v>
      </x:c>
      <x:c r="B24" s="40" t="n">
        <x:f>'Sheet1'!B20</x:f>
        <x:v>-85.97</x:v>
      </x:c>
      <x:c r="C24" s="40" t="n">
        <x:f>$B$3</x:f>
        <x:v>-90</x:v>
      </x:c>
      <x:c r="D24" s="43" t="n">
        <x:f>B24-C24</x:f>
        <x:v>4.030000000000001</x:v>
      </x:c>
      <x:c r="E24" s="46" t="n">
        <x:f>$D$3+D24</x:f>
        <x:v>-85.97</x:v>
      </x:c>
      <x:c r="F24" s="40" t="n">
        <x:f>B24-D24</x:f>
        <x:v>-90</x:v>
      </x:c>
      <x:c r="G24" s="40" t="n">
        <x:f>'Sheet1'!C20</x:f>
        <x:v>4.81</x:v>
      </x:c>
      <x:c r="H24" s="40" t="n">
        <x:f>$F$3</x:f>
        <x:v>0</x:v>
      </x:c>
      <x:c r="I24" s="43" t="n">
        <x:f>G24-H24</x:f>
        <x:v>4.81</x:v>
      </x:c>
      <x:c r="J24" s="46" t="n">
        <x:f>IF($H$3+I24&gt;180,$H$3+I24-360,$H$3+I24)</x:f>
        <x:v>-175.19</x:v>
      </x:c>
      <x:c r="K24" s="40" t="n">
        <x:f>G24-I24</x:f>
        <x:v>0</x:v>
      </x:c>
    </x:row>
    <x:row r="25" ht="21" customHeight="1">
      <x:c r="A25" s="36" t="n">
        <x:f>'Sheet1'!A21</x:f>
        <x:v>95000</x:v>
      </x:c>
      <x:c r="B25" s="40" t="n">
        <x:f>'Sheet1'!B21</x:f>
        <x:v>-85.85</x:v>
      </x:c>
      <x:c r="C25" s="40" t="n">
        <x:f>$B$3</x:f>
        <x:v>-90</x:v>
      </x:c>
      <x:c r="D25" s="43" t="n">
        <x:f>B25-C25</x:f>
        <x:v>4.150000000000006</x:v>
      </x:c>
      <x:c r="E25" s="46" t="n">
        <x:f>$D$3+D25</x:f>
        <x:v>-85.85</x:v>
      </x:c>
      <x:c r="F25" s="40" t="n">
        <x:f>B25-D25</x:f>
        <x:v>-90</x:v>
      </x:c>
      <x:c r="G25" s="40" t="n">
        <x:f>'Sheet1'!C21</x:f>
        <x:v>4.88</x:v>
      </x:c>
      <x:c r="H25" s="40" t="n">
        <x:f>$F$3</x:f>
        <x:v>0</x:v>
      </x:c>
      <x:c r="I25" s="43" t="n">
        <x:f>G25-H25</x:f>
        <x:v>4.88</x:v>
      </x:c>
      <x:c r="J25" s="46" t="n">
        <x:f>IF($H$3+I25&gt;180,$H$3+I25-360,$H$3+I25)</x:f>
        <x:v>-175.12</x:v>
      </x:c>
      <x:c r="K25" s="40" t="n">
        <x:f>G25-I25</x:f>
        <x:v>0</x:v>
      </x:c>
    </x:row>
    <x:row r="26" ht="21" customHeight="1">
      <x:c r="A26" s="37" t="n">
        <x:f>'Sheet1'!A22</x:f>
        <x:v>100000</x:v>
      </x:c>
      <x:c r="B26" s="41" t="n">
        <x:f>'Sheet1'!B22</x:f>
        <x:v>-84.76</x:v>
      </x:c>
      <x:c r="C26" s="41" t="n">
        <x:f>$B$3</x:f>
        <x:v>-90</x:v>
      </x:c>
      <x:c r="D26" s="44" t="n">
        <x:f>B26-C26</x:f>
        <x:v>5.239999999999995</x:v>
      </x:c>
      <x:c r="E26" s="47" t="n">
        <x:f>$D$3+D26</x:f>
        <x:v>-84.76</x:v>
      </x:c>
      <x:c r="F26" s="41" t="n">
        <x:f>B26-D26</x:f>
        <x:v>-90</x:v>
      </x:c>
      <x:c r="G26" s="41" t="n">
        <x:f>'Sheet1'!C22</x:f>
        <x:v>4.95</x:v>
      </x:c>
      <x:c r="H26" s="41" t="n">
        <x:f>$F$3</x:f>
        <x:v>0</x:v>
      </x:c>
      <x:c r="I26" s="44" t="n">
        <x:f>G26-H26</x:f>
        <x:v>4.95</x:v>
      </x:c>
      <x:c r="J26" s="47" t="n">
        <x:f>IF($H$3+I26&gt;180,$H$3+I26-360,$H$3+I26)</x:f>
        <x:v>-175.05</x:v>
      </x:c>
      <x:c r="K26" s="41" t="n">
        <x:f>G26-I26</x:f>
        <x:v>0</x:v>
      </x:c>
    </x:row>
  </x:sheetData>
  <x:mergeCells>
    <x:mergeCell ref="A1:K1"/>
    <x:mergeCell ref="A2:K2"/>
    <x:mergeCell ref="I3:K3"/>
  </x:mergeCells>
  <x:pageMargins left="0.7" right="0.7" top="0.75" bottom="0.75" header="0.3" footer="0.3"/>
  <x:tableParts count="1">
    <x:tablePart xmlns:r="http://schemas.openxmlformats.org/officeDocument/2006/relationships" r:id="R2600afb6f8d04a45"/>
  </x:tableParts>
</x:worksheet>
</file>